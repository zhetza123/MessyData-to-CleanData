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Sa publica\Lujanov Željko\SvetBrojeva_Project\MessyData\"/>
    </mc:Choice>
  </mc:AlternateContent>
  <xr:revisionPtr revIDLastSave="0" documentId="8_{AAA13D2E-C26A-4F0B-BBC3-3B6F4FFE743C}" xr6:coauthVersionLast="47" xr6:coauthVersionMax="47" xr10:uidLastSave="{00000000-0000-0000-0000-000000000000}"/>
  <bookViews>
    <workbookView xWindow="-120" yWindow="-120" windowWidth="29040" windowHeight="15720" activeTab="1" xr2:uid="{00000000-000D-0000-FFFF-FFFF00000000}"/>
  </bookViews>
  <sheets>
    <sheet name="MessyData Start" sheetId="1" r:id="rId1"/>
    <sheet name="MessyData End" sheetId="2" r:id="rId2"/>
  </sheets>
  <definedNames>
    <definedName name="Slicer_Dobavljač">#N/A</definedName>
    <definedName name="Slicer_Statu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<sst xmlns="http://schemas.openxmlformats.org/spreadsheetml/2006/main" count="272" uniqueCount="162">
  <si>
    <t>Datum</t>
  </si>
  <si>
    <t>Dobavljač</t>
  </si>
  <si>
    <t>Status</t>
  </si>
  <si>
    <t>Napomena</t>
  </si>
  <si>
    <t>2024.04.01</t>
  </si>
  <si>
    <t>GRINDEX doo</t>
  </si>
  <si>
    <t>150.000,00</t>
  </si>
  <si>
    <t>Plaćeno</t>
  </si>
  <si>
    <t>hitno!!!</t>
  </si>
  <si>
    <t>grindex</t>
  </si>
  <si>
    <t>placeno</t>
  </si>
  <si>
    <t>Metal-Promet</t>
  </si>
  <si>
    <t>"210.500"</t>
  </si>
  <si>
    <t>na čekanju</t>
  </si>
  <si>
    <t>Proveriti cenu čelika</t>
  </si>
  <si>
    <t>04.04.2024</t>
  </si>
  <si>
    <t>metal promet doo</t>
  </si>
  <si>
    <t>NA ČEKANJU</t>
  </si>
  <si>
    <t>05.05.2024</t>
  </si>
  <si>
    <t>Strana Firma</t>
  </si>
  <si>
    <t>1000 EUR</t>
  </si>
  <si>
    <t>plaćeno</t>
  </si>
  <si>
    <t>kurs 117.2</t>
  </si>
  <si>
    <t>NULL</t>
  </si>
  <si>
    <t>Nepoznato</t>
  </si>
  <si>
    <t>?</t>
  </si>
  <si>
    <t>Iznos</t>
  </si>
  <si>
    <t>dupli unos</t>
  </si>
  <si>
    <t>ispravka cene</t>
  </si>
  <si>
    <t>obrisati</t>
  </si>
  <si>
    <t>06.04.2024</t>
  </si>
  <si>
    <t>Alati NS</t>
  </si>
  <si>
    <t>2024.04.06</t>
  </si>
  <si>
    <t>ALATI NS DOO</t>
  </si>
  <si>
    <t>Petrol d.o.o.</t>
  </si>
  <si>
    <t>gorivo</t>
  </si>
  <si>
    <t>petrol</t>
  </si>
  <si>
    <t>12300,50</t>
  </si>
  <si>
    <t>PLAĆENO</t>
  </si>
  <si>
    <t>09.04.24</t>
  </si>
  <si>
    <t>Messer RS</t>
  </si>
  <si>
    <t>u obradi</t>
  </si>
  <si>
    <t>gasovi</t>
  </si>
  <si>
    <t>messer</t>
  </si>
  <si>
    <t>U OBRADI</t>
  </si>
  <si>
    <t>2024.04.11</t>
  </si>
  <si>
    <t>Tehnogas</t>
  </si>
  <si>
    <t>12.04.24</t>
  </si>
  <si>
    <t>Grindex</t>
  </si>
  <si>
    <t>GRINDEX DOO</t>
  </si>
  <si>
    <t>MetalPromet</t>
  </si>
  <si>
    <t>300 EUR</t>
  </si>
  <si>
    <t>15.04.2024</t>
  </si>
  <si>
    <t>metal-promet</t>
  </si>
  <si>
    <t>(300*117.2)</t>
  </si>
  <si>
    <t>16.04.24</t>
  </si>
  <si>
    <t>Rapid d.o.o.</t>
  </si>
  <si>
    <t>rapid</t>
  </si>
  <si>
    <t>PLACENO</t>
  </si>
  <si>
    <t>18.04.2024</t>
  </si>
  <si>
    <t>Ležaj Trade</t>
  </si>
  <si>
    <t>19.04.24</t>
  </si>
  <si>
    <t>lezaj trejd</t>
  </si>
  <si>
    <t>20.04.2024</t>
  </si>
  <si>
    <t>Elmont</t>
  </si>
  <si>
    <t>21.04.24</t>
  </si>
  <si>
    <t>el-mont</t>
  </si>
  <si>
    <t>Vodovod</t>
  </si>
  <si>
    <t>fiksni trošak</t>
  </si>
  <si>
    <t>23.04.24</t>
  </si>
  <si>
    <t>EPS</t>
  </si>
  <si>
    <t>struja mart</t>
  </si>
  <si>
    <t>24.04.2024</t>
  </si>
  <si>
    <t>eps srbija</t>
  </si>
  <si>
    <t>25.04.24</t>
  </si>
  <si>
    <t>Telekom</t>
  </si>
  <si>
    <t>26.04.24</t>
  </si>
  <si>
    <t>telekom srbija</t>
  </si>
  <si>
    <t>27.04.2024</t>
  </si>
  <si>
    <t>Špedicija</t>
  </si>
  <si>
    <t>28.04.24</t>
  </si>
  <si>
    <t>spedicija doo</t>
  </si>
  <si>
    <t>na cekanju</t>
  </si>
  <si>
    <t>29.04.24</t>
  </si>
  <si>
    <t>500 EUR</t>
  </si>
  <si>
    <t>30.04.24</t>
  </si>
  <si>
    <t>strana firma</t>
  </si>
  <si>
    <t>(500*117.2)</t>
  </si>
  <si>
    <t>01.05.2024</t>
  </si>
  <si>
    <t>grindex doo</t>
  </si>
  <si>
    <t>03.05.24</t>
  </si>
  <si>
    <t>04.05.24</t>
  </si>
  <si>
    <t>alati-ns</t>
  </si>
  <si>
    <t>05.05.24</t>
  </si>
  <si>
    <t>06.05.24</t>
  </si>
  <si>
    <t>metal promet</t>
  </si>
  <si>
    <t>07.05.24</t>
  </si>
  <si>
    <t>Rapid</t>
  </si>
  <si>
    <t>08.05.24</t>
  </si>
  <si>
    <t>rapid doo</t>
  </si>
  <si>
    <t>09.05.24</t>
  </si>
  <si>
    <t>Messer</t>
  </si>
  <si>
    <t>10.05.24</t>
  </si>
  <si>
    <t>messer rs</t>
  </si>
  <si>
    <t>11.05.24</t>
  </si>
  <si>
    <t>Petrol</t>
  </si>
  <si>
    <t>12.05.24</t>
  </si>
  <si>
    <t>petrol doo</t>
  </si>
  <si>
    <t>13.05.24</t>
  </si>
  <si>
    <t>14.05.24</t>
  </si>
  <si>
    <t>telekom</t>
  </si>
  <si>
    <t>15.05.24</t>
  </si>
  <si>
    <t>16.05.24</t>
  </si>
  <si>
    <t>elmont doo</t>
  </si>
  <si>
    <t>error</t>
  </si>
  <si>
    <t>ignorisati</t>
  </si>
  <si>
    <t>17.05.24</t>
  </si>
  <si>
    <t>Na čekanju</t>
  </si>
  <si>
    <t>U obradi</t>
  </si>
  <si>
    <t>14/04/24</t>
  </si>
  <si>
    <t>16/04/24</t>
  </si>
  <si>
    <t>18/04/24</t>
  </si>
  <si>
    <t>20/04/24</t>
  </si>
  <si>
    <t>22/04/24</t>
  </si>
  <si>
    <t>23/04/24</t>
  </si>
  <si>
    <t>25/04/24</t>
  </si>
  <si>
    <t>27/04/24</t>
  </si>
  <si>
    <t>29/04/24</t>
  </si>
  <si>
    <t>13/05/24</t>
  </si>
  <si>
    <t>15/05/24</t>
  </si>
  <si>
    <t>17/05/24</t>
  </si>
  <si>
    <t>01/04/24</t>
  </si>
  <si>
    <t>03/04/24</t>
  </si>
  <si>
    <t>05/05/24</t>
  </si>
  <si>
    <t>06/04/24</t>
  </si>
  <si>
    <t>07/04/24</t>
  </si>
  <si>
    <t>09/04/24</t>
  </si>
  <si>
    <t>11/04/24</t>
  </si>
  <si>
    <t>12/04/24</t>
  </si>
  <si>
    <t>01/05/24</t>
  </si>
  <si>
    <t>03/05/24</t>
  </si>
  <si>
    <t>07/05/24</t>
  </si>
  <si>
    <t>09/05/24</t>
  </si>
  <si>
    <t>11/05/24</t>
  </si>
  <si>
    <t>Grindex d.o.o.</t>
  </si>
  <si>
    <t>Metal-Promet d.o.o.</t>
  </si>
  <si>
    <t>Alati NS d.o.o.</t>
  </si>
  <si>
    <t>Messer RS d.o.o.</t>
  </si>
  <si>
    <t>Tehnogas d.o.o.</t>
  </si>
  <si>
    <t>Ležaj Trade d.o.o.</t>
  </si>
  <si>
    <t>Elmont d.o.o.</t>
  </si>
  <si>
    <t>EPS Srbija</t>
  </si>
  <si>
    <t>Telekom Srbija</t>
  </si>
  <si>
    <t>Špedicija d.o.o.</t>
  </si>
  <si>
    <t>Hitno!!!</t>
  </si>
  <si>
    <t>Gorivo</t>
  </si>
  <si>
    <t>Gasovi</t>
  </si>
  <si>
    <t>Fiksni trošak</t>
  </si>
  <si>
    <t>Struja mart</t>
  </si>
  <si>
    <t>Grand Total</t>
  </si>
  <si>
    <t>(All)</t>
  </si>
  <si>
    <t>Sum of Iznos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</si>
</sst>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SD]\ #,##0.00"/>
  </numFmts>
  <fonts count="4"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6">
    <xf numFmtId="0" fontId="0" fillId="0" borderId="0" xfId="0"/>
    <xf numFmtId="0" fontId="3" fillId="0" borderId="1" xfId="0" applyFont="1" applyBorder="1" applyAlignment="1">
      <alignment vertical="center" wrapText="1"/>
    </xf>
    <xf numFmtId="0" fontId="2" fillId="0" borderId="1" xfId="0" applyFont="1" applyBorder="1" applyAlignment="1">
      <alignment vertical="center" wrapText="1"/>
    </xf>
    <xf numFmtId="14" fontId="0" fillId="0" borderId="0" xfId="0" applyNumberFormat="1"/>
    <xf numFmtId="14" fontId="2" fillId="0" borderId="1" xfId="0" applyNumberFormat="1" applyFont="1" applyBorder="1" applyAlignment="1">
      <alignment vertical="center" wrapText="1"/>
    </xf>
    <xf numFmtId="4" fontId="2" fillId="0" borderId="1" xfId="0" applyNumberFormat="1" applyFont="1" applyBorder="1" applyAlignment="1">
      <alignment vertical="center" wrapText="1"/>
    </xf>
    <xf numFmtId="15" fontId="2" fillId="0" borderId="1" xfId="0" applyNumberFormat="1" applyFont="1" applyBorder="1" applyAlignment="1">
      <alignment vertical="center" wrapText="1"/>
    </xf>
    <xf numFmtId="14" fontId="3" fillId="0" borderId="0" xfId="0" applyNumberFormat="1" applyFont="1" applyAlignment="1">
      <alignment vertical="center"/>
    </xf>
    <xf numFmtId="0" fontId="3" fillId="0" borderId="0" xfId="0" applyFont="1" applyAlignment="1">
      <alignment vertical="center"/>
    </xf>
    <xf numFmtId="14" fontId="2" fillId="0" borderId="0" xfId="0" applyNumberFormat="1" applyFont="1" applyAlignment="1">
      <alignment vertical="center"/>
    </xf>
    <xf numFmtId="0" fontId="2" fillId="0" borderId="0" xfId="0" applyFont="1" applyAlignment="1">
      <alignment vertical="center"/>
    </xf>
    <xf numFmtId="164" fontId="3" fillId="0" borderId="0" xfId="0" applyNumberFormat="1" applyFont="1" applyAlignment="1">
      <alignment vertical="center"/>
    </xf>
    <xf numFmtId="164" fontId="2" fillId="0" borderId="0" xfId="0" applyNumberFormat="1" applyFont="1" applyAlignment="1">
      <alignment vertical="center"/>
    </xf>
    <xf numFmtId="164" fontId="0" fillId="0" borderId="0" xfId="0" applyNumberFormat="1"/>
    <xf numFmtId="0" fontId="0" fillId="0" borderId="0" xfId="0" pivotButton="1"/>
    <xf numFmtId="0" fontId="1" fillId="0" borderId="0" xfId="0" applyFont="1"/>
  </cellXfs>
  <cellStyles count="1">
    <cellStyle name="Normal" xfId="0" builtinId="0"/>
  </cellStyles>
  <dxfs count="7">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64" formatCode="[$RSD]\ #,##0.00"/>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oneCell">
    <xdr:from>
      <xdr:col>12</xdr:col>
      <xdr:colOff>85725</xdr:colOff>
      <xdr:row>0</xdr:row>
      <xdr:rowOff>38099</xdr:rowOff>
    </xdr:from>
    <xdr:to>
      <xdr:col>15</xdr:col>
      <xdr:colOff>590550</xdr:colOff>
      <xdr:row>23</xdr:row>
      <xdr:rowOff>180974</xdr:rowOff>
    </xdr:to>
    <mc:AlternateContent xmlns:mc="http://schemas.openxmlformats.org/markup-compatibility/2006" xmlns:a14="http://schemas.microsoft.com/office/drawing/2010/main">
      <mc:Choice Requires="a14">
        <xdr:graphicFrame macro="">
          <xdr:nvGraphicFramePr>
            <xdr:cNvPr id="4" name="Dobavljač">
              <a:extLst>
                <a:ext uri="{FF2B5EF4-FFF2-40B4-BE49-F238E27FC236}">
                  <a16:creationId xmlns:a16="http://schemas.microsoft.com/office/drawing/2014/main" id="{FEB756F0-8AA3-AB65-B429-7E32B3512F30}"/>
                </a:ext>
              </a:extLst>
            </xdr:cNvPr>
            <xdr:cNvGraphicFramePr/>
          </xdr:nvGraphicFramePr>
          <xdr:xfrm>
            <a:off x="0" y="0"/>
            <a:ext cx="0" cy="0"/>
          </xdr:xfrm>
          <a:graphic>
            <a:graphicData uri="http://schemas.microsoft.com/office/drawing/2010/slicer">
              <sle:slicer xmlns:sle="http://schemas.microsoft.com/office/drawing/2010/slicer" name="Dobavljač"/>
            </a:graphicData>
          </a:graphic>
        </xdr:graphicFrame>
      </mc:Choice>
      <mc:Fallback xmlns="">
        <xdr:sp macro="" textlink="">
          <xdr:nvSpPr>
            <xdr:cNvPr id="0" name=""/>
            <xdr:cNvSpPr>
              <a:spLocks noTextEdit="1"/>
            </xdr:cNvSpPr>
          </xdr:nvSpPr>
          <xdr:spPr>
            <a:xfrm>
              <a:off x="11029950" y="38099"/>
              <a:ext cx="2333625" cy="4524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0</xdr:row>
      <xdr:rowOff>38100</xdr:rowOff>
    </xdr:from>
    <xdr:to>
      <xdr:col>12</xdr:col>
      <xdr:colOff>38100</xdr:colOff>
      <xdr:row>13</xdr:row>
      <xdr:rowOff>85725</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3CC70660-CB5E-265A-B668-2A004AB6F7D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153525" y="381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index" refreshedDate="46133.35375775463" createdVersion="8" refreshedVersion="8" minRefreshableVersion="3" recordCount="26" xr:uid="{180794A2-6CE3-4FE5-B4D9-24FF78CFA2A6}">
  <cacheSource type="worksheet">
    <worksheetSource ref="A1:E27" sheet="MessyData End"/>
  </cacheSource>
  <cacheFields count="6">
    <cacheField name="Datum" numFmtId="14">
      <sharedItems/>
    </cacheField>
    <cacheField name="Dobavljač" numFmtId="0">
      <sharedItems count="14">
        <s v="Grindex d.o.o."/>
        <s v="Metal-Promet d.o.o."/>
        <s v="Strana Firma"/>
        <s v="Alati NS d.o.o."/>
        <s v="Petrol d.o.o."/>
        <s v="Messer RS d.o.o."/>
        <s v="Tehnogas d.o.o."/>
        <s v="Rapid d.o.o."/>
        <s v="Ležaj Trade d.o.o."/>
        <s v="Elmont d.o.o."/>
        <s v="Vodovod"/>
        <s v="EPS Srbija"/>
        <s v="Telekom Srbija"/>
        <s v="Špedicija d.o.o."/>
      </sharedItems>
    </cacheField>
    <cacheField name="Iznos" numFmtId="164">
      <sharedItems containsSemiMixedTypes="0" containsString="0" containsNumber="1" minValue="15" maxValue="210500"/>
    </cacheField>
    <cacheField name="Status" numFmtId="0">
      <sharedItems count="3">
        <s v="Plaćeno"/>
        <s v="Na čekanju"/>
        <s v="U obradi"/>
      </sharedItems>
    </cacheField>
    <cacheField name="Napomena" numFmtId="0">
      <sharedItems containsBlank="1"/>
    </cacheField>
    <cacheField name="Iznos_Numeric" numFmtId="0">
      <sharedItems containsSemiMixedTypes="0" containsString="0" containsNumber="1" minValue="15" maxValue="210500"/>
    </cacheField>
  </cacheFields>
  <extLst>
    <ext xmlns:x14="http://schemas.microsoft.com/office/spreadsheetml/2009/9/main" uri="{725AE2AE-9491-48be-B2B4-4EB974FC3084}">
      <x14:pivotCacheDefinition pivotCacheId="369895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01/04/24"/>
    <x v="0"/>
    <n v="150000"/>
    <x v="0"/>
    <s v="Hitno!!!"/>
    <n v="150000"/>
  </r>
  <r>
    <s v="03/04/24"/>
    <x v="1"/>
    <n v="210500"/>
    <x v="1"/>
    <s v="Proveriti cenu čelika"/>
    <n v="210500"/>
  </r>
  <r>
    <s v="05/05/24"/>
    <x v="2"/>
    <n v="117200"/>
    <x v="0"/>
    <m/>
    <n v="117200"/>
  </r>
  <r>
    <s v="06/04/24"/>
    <x v="3"/>
    <n v="45600"/>
    <x v="0"/>
    <m/>
    <n v="45600"/>
  </r>
  <r>
    <s v="07/04/24"/>
    <x v="4"/>
    <n v="12300.5"/>
    <x v="0"/>
    <s v="Gorivo"/>
    <n v="12300.5"/>
  </r>
  <r>
    <s v="09/04/24"/>
    <x v="5"/>
    <n v="89000"/>
    <x v="2"/>
    <s v="Gasovi"/>
    <n v="89000"/>
  </r>
  <r>
    <s v="11/04/24"/>
    <x v="6"/>
    <n v="15"/>
    <x v="0"/>
    <m/>
    <n v="15"/>
  </r>
  <r>
    <s v="12/04/24"/>
    <x v="0"/>
    <n v="55000"/>
    <x v="0"/>
    <m/>
    <n v="55000"/>
  </r>
  <r>
    <s v="14/04/24"/>
    <x v="1"/>
    <n v="35160"/>
    <x v="1"/>
    <m/>
    <n v="35160"/>
  </r>
  <r>
    <s v="16/04/24"/>
    <x v="7"/>
    <n v="12500"/>
    <x v="0"/>
    <m/>
    <n v="12500"/>
  </r>
  <r>
    <s v="18/04/24"/>
    <x v="8"/>
    <n v="44200"/>
    <x v="2"/>
    <m/>
    <n v="44200"/>
  </r>
  <r>
    <s v="20/04/24"/>
    <x v="9"/>
    <n v="105000"/>
    <x v="0"/>
    <m/>
    <n v="105000"/>
  </r>
  <r>
    <s v="22/04/24"/>
    <x v="10"/>
    <n v="3200"/>
    <x v="0"/>
    <s v="Fiksni trošak"/>
    <n v="3200"/>
  </r>
  <r>
    <s v="23/04/24"/>
    <x v="11"/>
    <n v="154000"/>
    <x v="2"/>
    <s v="Struja mart"/>
    <n v="154000"/>
  </r>
  <r>
    <s v="25/04/24"/>
    <x v="12"/>
    <n v="8500"/>
    <x v="0"/>
    <m/>
    <n v="8500"/>
  </r>
  <r>
    <s v="27/04/24"/>
    <x v="13"/>
    <n v="22000"/>
    <x v="1"/>
    <m/>
    <n v="22000"/>
  </r>
  <r>
    <s v="29/04/24"/>
    <x v="2"/>
    <n v="58600"/>
    <x v="0"/>
    <m/>
    <n v="58600"/>
  </r>
  <r>
    <s v="01/05/24"/>
    <x v="0"/>
    <n v="200000"/>
    <x v="1"/>
    <m/>
    <n v="200000"/>
  </r>
  <r>
    <s v="03/05/24"/>
    <x v="3"/>
    <n v="12000"/>
    <x v="0"/>
    <m/>
    <n v="12000"/>
  </r>
  <r>
    <s v="05/05/24"/>
    <x v="1"/>
    <n v="75000"/>
    <x v="2"/>
    <m/>
    <n v="75000"/>
  </r>
  <r>
    <s v="07/05/24"/>
    <x v="7"/>
    <n v="3300"/>
    <x v="0"/>
    <m/>
    <n v="3300"/>
  </r>
  <r>
    <s v="09/05/24"/>
    <x v="5"/>
    <n v="41000"/>
    <x v="1"/>
    <m/>
    <n v="41000"/>
  </r>
  <r>
    <s v="11/05/24"/>
    <x v="4"/>
    <n v="9800"/>
    <x v="0"/>
    <m/>
    <n v="9800"/>
  </r>
  <r>
    <s v="13/05/24"/>
    <x v="12"/>
    <n v="7700"/>
    <x v="2"/>
    <m/>
    <n v="7700"/>
  </r>
  <r>
    <s v="15/05/24"/>
    <x v="9"/>
    <n v="12000"/>
    <x v="0"/>
    <m/>
    <n v="12000"/>
  </r>
  <r>
    <s v="17/05/24"/>
    <x v="0"/>
    <n v="45000"/>
    <x v="0"/>
    <m/>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44F32D-7592-4B2A-AD4A-7B36DBA69911}" name="SupplierPivo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18" firstHeaderRow="1" firstDataRow="1" firstDataCol="1" rowPageCount="1" colPageCount="1"/>
  <pivotFields count="6">
    <pivotField compact="0" outline="0" showAll="0"/>
    <pivotField axis="axisRow" compact="0" outline="0" showAll="0">
      <items count="15">
        <item x="3"/>
        <item x="9"/>
        <item x="11"/>
        <item x="0"/>
        <item x="8"/>
        <item x="5"/>
        <item x="1"/>
        <item x="4"/>
        <item x="7"/>
        <item x="13"/>
        <item x="2"/>
        <item x="6"/>
        <item x="12"/>
        <item x="10"/>
        <item t="default"/>
      </items>
    </pivotField>
    <pivotField compact="0" numFmtId="164" outline="0" showAll="0"/>
    <pivotField axis="axisPage" compact="0" outline="0" showAll="0">
      <items count="4">
        <item x="1"/>
        <item x="0"/>
        <item x="2"/>
        <item t="default"/>
      </items>
    </pivotField>
    <pivotField compact="0" outline="0" showAll="0"/>
    <pivotField dataField="1" compact="0" outline="0" showAll="0"/>
  </pivotFields>
  <rowFields count="1">
    <field x="1"/>
  </rowFields>
  <rowItems count="15">
    <i>
      <x/>
    </i>
    <i>
      <x v="1"/>
    </i>
    <i>
      <x v="2"/>
    </i>
    <i>
      <x v="3"/>
    </i>
    <i>
      <x v="4"/>
    </i>
    <i>
      <x v="5"/>
    </i>
    <i>
      <x v="6"/>
    </i>
    <i>
      <x v="7"/>
    </i>
    <i>
      <x v="8"/>
    </i>
    <i>
      <x v="9"/>
    </i>
    <i>
      <x v="10"/>
    </i>
    <i>
      <x v="11"/>
    </i>
    <i>
      <x v="12"/>
    </i>
    <i>
      <x v="13"/>
    </i>
    <i t="grand">
      <x/>
    </i>
  </rowItems>
  <colItems count="1">
    <i/>
  </colItems>
  <pageFields count="1">
    <pageField fld="3" hier="-1"/>
  </pageFields>
  <dataFields count="1">
    <dataField name="Sum of Izno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bavljač" xr10:uid="{14E18C36-9D7D-4BB4-9D78-259D74C5D247}" sourceName="Dobavljač">
  <pivotTables>
    <pivotTable tabId="2" name="SupplierPivot"/>
  </pivotTables>
  <data>
    <tabular pivotCacheId="369895421">
      <items count="14">
        <i x="3" s="1"/>
        <i x="9" s="1"/>
        <i x="11" s="1"/>
        <i x="0" s="1"/>
        <i x="8" s="1"/>
        <i x="5" s="1"/>
        <i x="1" s="1"/>
        <i x="4" s="1"/>
        <i x="7" s="1"/>
        <i x="13" s="1"/>
        <i x="2" s="1"/>
        <i x="6" s="1"/>
        <i x="12"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D5AC434-D210-4FAA-9C11-89364816C9FE}" sourceName="Status">
  <pivotTables>
    <pivotTable tabId="2" name="SupplierPivot"/>
  </pivotTables>
  <data>
    <tabular pivotCacheId="36989542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bavljač" xr10:uid="{140D7B47-8540-4C88-A29D-A2ADF77B3B8C}" cache="Slicer_Dobavljač" caption="Dobavljač" rowHeight="241300"/>
  <slicer name="Status" xr10:uid="{A1E45958-922E-435E-8BC1-AAA8B27162A0}"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A621FC-B8F0-4476-8F01-F75D287D4876}" name="Table1" displayName="Table1" ref="A1:E27" totalsRowShown="0" headerRowDxfId="6" dataDxfId="5">
  <autoFilter ref="A1:E27" xr:uid="{ADA621FC-B8F0-4476-8F01-F75D287D4876}"/>
  <tableColumns count="5">
    <tableColumn id="1" xr3:uid="{ED1D9071-B1A9-4457-990D-C6A677CAF0A7}" name="Datum" dataDxfId="4"/>
    <tableColumn id="2" xr3:uid="{BB570CC4-A905-4CDD-989C-5D104E4995E7}" name="Dobavljač" dataDxfId="3"/>
    <tableColumn id="3" xr3:uid="{80CBD97F-43B8-4CAE-AFF4-F7B76BE18FA2}" name="Iznos" dataDxfId="2"/>
    <tableColumn id="4" xr3:uid="{257A88EB-09EE-441C-84A9-7FFD42DA1C71}" name="Status" dataDxfId="1"/>
    <tableColumn id="5" xr3:uid="{56975788-D993-4D1E-ACBA-D347F480E816}" name="Napomena" dataDxfId="0"/>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workbookViewId="0">
      <selection activeCell="G17" sqref="G17"/>
    </sheetView>
  </sheetViews>
  <sheetFormatPr defaultRowHeight="15" x14ac:dyDescent="0.25"/>
  <cols>
    <col min="1" max="1" width="11.28515625" bestFit="1" customWidth="1"/>
    <col min="2" max="2" width="9" bestFit="1" customWidth="1"/>
    <col min="3" max="3" width="10.140625" bestFit="1" customWidth="1"/>
    <col min="5" max="5" width="8.5703125" bestFit="1" customWidth="1"/>
  </cols>
  <sheetData>
    <row r="1" spans="1:5" ht="30.75" thickBot="1" x14ac:dyDescent="0.3">
      <c r="A1" s="1" t="s">
        <v>0</v>
      </c>
      <c r="B1" s="1" t="s">
        <v>1</v>
      </c>
      <c r="C1" s="1" t="s">
        <v>26</v>
      </c>
      <c r="D1" s="1" t="s">
        <v>2</v>
      </c>
      <c r="E1" s="1" t="s">
        <v>3</v>
      </c>
    </row>
    <row r="2" spans="1:5" ht="29.25" thickBot="1" x14ac:dyDescent="0.3">
      <c r="A2" s="2" t="s">
        <v>4</v>
      </c>
      <c r="B2" s="2" t="s">
        <v>5</v>
      </c>
      <c r="C2" s="2" t="s">
        <v>6</v>
      </c>
      <c r="D2" s="2" t="s">
        <v>7</v>
      </c>
      <c r="E2" s="2" t="s">
        <v>8</v>
      </c>
    </row>
    <row r="3" spans="1:5" ht="29.25" thickBot="1" x14ac:dyDescent="0.3">
      <c r="A3" s="4">
        <v>45383</v>
      </c>
      <c r="B3" s="2" t="s">
        <v>9</v>
      </c>
      <c r="C3" s="2">
        <v>150000</v>
      </c>
      <c r="D3" s="2" t="s">
        <v>10</v>
      </c>
      <c r="E3" s="2" t="s">
        <v>27</v>
      </c>
    </row>
    <row r="4" spans="1:5" ht="43.5" thickBot="1" x14ac:dyDescent="0.3">
      <c r="A4" s="4">
        <v>45385</v>
      </c>
      <c r="B4" s="2" t="s">
        <v>11</v>
      </c>
      <c r="C4" s="2" t="s">
        <v>12</v>
      </c>
      <c r="D4" s="2" t="s">
        <v>13</v>
      </c>
      <c r="E4" s="2" t="s">
        <v>14</v>
      </c>
    </row>
    <row r="5" spans="1:5" ht="43.5" thickBot="1" x14ac:dyDescent="0.3">
      <c r="A5" s="2" t="s">
        <v>15</v>
      </c>
      <c r="B5" s="2" t="s">
        <v>16</v>
      </c>
      <c r="C5" s="2">
        <v>210500</v>
      </c>
      <c r="D5" s="2" t="s">
        <v>17</v>
      </c>
      <c r="E5" s="2" t="s">
        <v>28</v>
      </c>
    </row>
    <row r="6" spans="1:5" ht="29.25" thickBot="1" x14ac:dyDescent="0.3">
      <c r="A6" s="2" t="s">
        <v>18</v>
      </c>
      <c r="B6" s="2" t="s">
        <v>19</v>
      </c>
      <c r="C6" s="2" t="s">
        <v>20</v>
      </c>
      <c r="D6" s="2" t="s">
        <v>21</v>
      </c>
      <c r="E6" s="2" t="s">
        <v>22</v>
      </c>
    </row>
    <row r="7" spans="1:5" ht="29.25" thickBot="1" x14ac:dyDescent="0.3">
      <c r="A7" s="2" t="s">
        <v>23</v>
      </c>
      <c r="B7" s="2" t="s">
        <v>24</v>
      </c>
      <c r="C7" s="2">
        <v>0</v>
      </c>
      <c r="D7" s="2" t="s">
        <v>25</v>
      </c>
      <c r="E7" s="2" t="s">
        <v>29</v>
      </c>
    </row>
    <row r="8" spans="1:5" ht="15.75" thickBot="1" x14ac:dyDescent="0.3">
      <c r="A8" s="2" t="s">
        <v>30</v>
      </c>
      <c r="B8" s="2" t="s">
        <v>31</v>
      </c>
      <c r="C8" s="5">
        <v>45600</v>
      </c>
      <c r="D8" s="2" t="s">
        <v>7</v>
      </c>
      <c r="E8" s="2"/>
    </row>
    <row r="9" spans="1:5" ht="43.5" thickBot="1" x14ac:dyDescent="0.3">
      <c r="A9" s="2" t="s">
        <v>32</v>
      </c>
      <c r="B9" s="2" t="s">
        <v>33</v>
      </c>
      <c r="C9" s="2">
        <v>45600</v>
      </c>
      <c r="D9" s="2" t="s">
        <v>10</v>
      </c>
      <c r="E9" s="2"/>
    </row>
    <row r="10" spans="1:5" ht="29.25" thickBot="1" x14ac:dyDescent="0.3">
      <c r="A10" s="6">
        <v>45389</v>
      </c>
      <c r="B10" s="2" t="s">
        <v>34</v>
      </c>
      <c r="C10" s="2">
        <v>12300.5</v>
      </c>
      <c r="D10" s="2" t="s">
        <v>7</v>
      </c>
      <c r="E10" s="2" t="s">
        <v>35</v>
      </c>
    </row>
    <row r="11" spans="1:5" ht="29.25" thickBot="1" x14ac:dyDescent="0.3">
      <c r="A11" s="4">
        <v>45390</v>
      </c>
      <c r="B11" s="2" t="s">
        <v>36</v>
      </c>
      <c r="C11" s="2" t="s">
        <v>37</v>
      </c>
      <c r="D11" s="2" t="s">
        <v>38</v>
      </c>
      <c r="E11" s="2"/>
    </row>
    <row r="12" spans="1:5" ht="29.25" thickBot="1" x14ac:dyDescent="0.3">
      <c r="A12" s="2" t="s">
        <v>39</v>
      </c>
      <c r="B12" s="2" t="s">
        <v>40</v>
      </c>
      <c r="C12" s="2">
        <v>89000</v>
      </c>
      <c r="D12" s="2" t="s">
        <v>41</v>
      </c>
      <c r="E12" s="2" t="s">
        <v>42</v>
      </c>
    </row>
    <row r="13" spans="1:5" ht="29.25" thickBot="1" x14ac:dyDescent="0.3">
      <c r="A13" s="4">
        <v>45392</v>
      </c>
      <c r="B13" s="2" t="s">
        <v>43</v>
      </c>
      <c r="C13" s="2">
        <v>89000</v>
      </c>
      <c r="D13" s="2" t="s">
        <v>44</v>
      </c>
      <c r="E13" s="2"/>
    </row>
    <row r="14" spans="1:5" ht="29.25" thickBot="1" x14ac:dyDescent="0.3">
      <c r="A14" s="2" t="s">
        <v>45</v>
      </c>
      <c r="B14" s="2" t="s">
        <v>46</v>
      </c>
      <c r="C14" s="2">
        <v>15</v>
      </c>
      <c r="D14" s="2" t="s">
        <v>21</v>
      </c>
      <c r="E14" s="2"/>
    </row>
    <row r="15" spans="1:5" ht="15.75" thickBot="1" x14ac:dyDescent="0.3">
      <c r="A15" s="2" t="s">
        <v>47</v>
      </c>
      <c r="B15" s="2" t="s">
        <v>48</v>
      </c>
      <c r="C15" s="2">
        <v>55000</v>
      </c>
      <c r="D15" s="2" t="s">
        <v>21</v>
      </c>
      <c r="E15" s="2"/>
    </row>
    <row r="16" spans="1:5" ht="29.25" thickBot="1" x14ac:dyDescent="0.3">
      <c r="A16" s="4">
        <v>45395</v>
      </c>
      <c r="B16" s="2" t="s">
        <v>49</v>
      </c>
      <c r="C16" s="2">
        <v>55000</v>
      </c>
      <c r="D16" s="2" t="s">
        <v>10</v>
      </c>
      <c r="E16" s="2"/>
    </row>
    <row r="17" spans="1:5" ht="29.25" thickBot="1" x14ac:dyDescent="0.3">
      <c r="A17" s="4">
        <v>45396</v>
      </c>
      <c r="B17" s="2" t="s">
        <v>50</v>
      </c>
      <c r="C17" s="2" t="s">
        <v>51</v>
      </c>
      <c r="D17" s="2" t="s">
        <v>13</v>
      </c>
      <c r="E17" s="2"/>
    </row>
    <row r="18" spans="1:5" ht="29.25" thickBot="1" x14ac:dyDescent="0.3">
      <c r="A18" s="2" t="s">
        <v>52</v>
      </c>
      <c r="B18" s="2" t="s">
        <v>53</v>
      </c>
      <c r="C18" s="2">
        <v>35160</v>
      </c>
      <c r="D18" s="2" t="s">
        <v>13</v>
      </c>
      <c r="E18" s="2" t="s">
        <v>54</v>
      </c>
    </row>
    <row r="19" spans="1:5" ht="29.25" thickBot="1" x14ac:dyDescent="0.3">
      <c r="A19" s="2" t="s">
        <v>55</v>
      </c>
      <c r="B19" s="2" t="s">
        <v>56</v>
      </c>
      <c r="C19" s="2">
        <v>12500</v>
      </c>
      <c r="D19" s="2" t="s">
        <v>21</v>
      </c>
      <c r="E19" s="2"/>
    </row>
    <row r="20" spans="1:5" ht="29.25" thickBot="1" x14ac:dyDescent="0.3">
      <c r="A20" s="4">
        <v>45399</v>
      </c>
      <c r="B20" s="2" t="s">
        <v>57</v>
      </c>
      <c r="C20" s="2">
        <v>12500</v>
      </c>
      <c r="D20" s="2" t="s">
        <v>58</v>
      </c>
      <c r="E20" s="2"/>
    </row>
    <row r="21" spans="1:5" ht="29.25" thickBot="1" x14ac:dyDescent="0.3">
      <c r="A21" s="2" t="s">
        <v>59</v>
      </c>
      <c r="B21" s="2" t="s">
        <v>60</v>
      </c>
      <c r="C21" s="2">
        <v>44200</v>
      </c>
      <c r="D21" s="2" t="s">
        <v>41</v>
      </c>
      <c r="E21" s="2"/>
    </row>
    <row r="22" spans="1:5" ht="29.25" thickBot="1" x14ac:dyDescent="0.3">
      <c r="A22" s="2" t="s">
        <v>61</v>
      </c>
      <c r="B22" s="2" t="s">
        <v>62</v>
      </c>
      <c r="C22" s="2">
        <v>44200</v>
      </c>
      <c r="D22" s="2" t="s">
        <v>41</v>
      </c>
      <c r="E22" s="2"/>
    </row>
    <row r="23" spans="1:5" ht="15.75" thickBot="1" x14ac:dyDescent="0.3">
      <c r="A23" s="2" t="s">
        <v>63</v>
      </c>
      <c r="B23" s="2" t="s">
        <v>64</v>
      </c>
      <c r="C23" s="2">
        <v>105000</v>
      </c>
      <c r="D23" s="2" t="s">
        <v>21</v>
      </c>
      <c r="E23" s="2"/>
    </row>
    <row r="24" spans="1:5" ht="15.75" thickBot="1" x14ac:dyDescent="0.3">
      <c r="A24" s="2" t="s">
        <v>65</v>
      </c>
      <c r="B24" s="2" t="s">
        <v>66</v>
      </c>
      <c r="C24" s="2">
        <v>105000</v>
      </c>
      <c r="D24" s="2" t="s">
        <v>21</v>
      </c>
      <c r="E24" s="2"/>
    </row>
    <row r="25" spans="1:5" ht="29.25" thickBot="1" x14ac:dyDescent="0.3">
      <c r="A25" s="4">
        <v>45404</v>
      </c>
      <c r="B25" s="2" t="s">
        <v>67</v>
      </c>
      <c r="C25" s="2">
        <v>3200</v>
      </c>
      <c r="D25" s="2" t="s">
        <v>21</v>
      </c>
      <c r="E25" s="2" t="s">
        <v>68</v>
      </c>
    </row>
    <row r="26" spans="1:5" ht="29.25" thickBot="1" x14ac:dyDescent="0.3">
      <c r="A26" s="2" t="s">
        <v>69</v>
      </c>
      <c r="B26" s="2" t="s">
        <v>70</v>
      </c>
      <c r="C26" s="2">
        <v>154000</v>
      </c>
      <c r="D26" s="2" t="s">
        <v>41</v>
      </c>
      <c r="E26" s="2" t="s">
        <v>71</v>
      </c>
    </row>
    <row r="27" spans="1:5" ht="29.25" thickBot="1" x14ac:dyDescent="0.3">
      <c r="A27" s="2" t="s">
        <v>72</v>
      </c>
      <c r="B27" s="2" t="s">
        <v>73</v>
      </c>
      <c r="C27" s="2">
        <v>154000</v>
      </c>
      <c r="D27" s="2" t="s">
        <v>41</v>
      </c>
      <c r="E27" s="2"/>
    </row>
    <row r="28" spans="1:5" ht="15.75" thickBot="1" x14ac:dyDescent="0.3">
      <c r="A28" s="2" t="s">
        <v>74</v>
      </c>
      <c r="B28" s="2" t="s">
        <v>75</v>
      </c>
      <c r="C28" s="2">
        <v>8500</v>
      </c>
      <c r="D28" s="2" t="s">
        <v>21</v>
      </c>
      <c r="E28" s="2"/>
    </row>
    <row r="29" spans="1:5" ht="29.25" thickBot="1" x14ac:dyDescent="0.3">
      <c r="A29" s="2" t="s">
        <v>76</v>
      </c>
      <c r="B29" s="2" t="s">
        <v>77</v>
      </c>
      <c r="C29" s="2">
        <v>8500</v>
      </c>
      <c r="D29" s="2" t="s">
        <v>58</v>
      </c>
      <c r="E29" s="2"/>
    </row>
    <row r="30" spans="1:5" ht="29.25" thickBot="1" x14ac:dyDescent="0.3">
      <c r="A30" s="2" t="s">
        <v>78</v>
      </c>
      <c r="B30" s="2" t="s">
        <v>79</v>
      </c>
      <c r="C30" s="2">
        <v>22000</v>
      </c>
      <c r="D30" s="2" t="s">
        <v>13</v>
      </c>
      <c r="E30" s="2"/>
    </row>
    <row r="31" spans="1:5" ht="29.25" thickBot="1" x14ac:dyDescent="0.3">
      <c r="A31" s="2" t="s">
        <v>80</v>
      </c>
      <c r="B31" s="2" t="s">
        <v>81</v>
      </c>
      <c r="C31" s="2">
        <v>22000</v>
      </c>
      <c r="D31" s="2" t="s">
        <v>82</v>
      </c>
      <c r="E31" s="2"/>
    </row>
    <row r="32" spans="1:5" ht="29.25" thickBot="1" x14ac:dyDescent="0.3">
      <c r="A32" s="2" t="s">
        <v>83</v>
      </c>
      <c r="B32" s="2" t="s">
        <v>19</v>
      </c>
      <c r="C32" s="2" t="s">
        <v>84</v>
      </c>
      <c r="D32" s="2" t="s">
        <v>21</v>
      </c>
      <c r="E32" s="2"/>
    </row>
    <row r="33" spans="1:5" ht="29.25" thickBot="1" x14ac:dyDescent="0.3">
      <c r="A33" s="2" t="s">
        <v>85</v>
      </c>
      <c r="B33" s="2" t="s">
        <v>86</v>
      </c>
      <c r="C33" s="2">
        <v>58600</v>
      </c>
      <c r="D33" s="2" t="s">
        <v>21</v>
      </c>
      <c r="E33" s="2" t="s">
        <v>87</v>
      </c>
    </row>
    <row r="34" spans="1:5" ht="29.25" thickBot="1" x14ac:dyDescent="0.3">
      <c r="A34" s="2" t="s">
        <v>88</v>
      </c>
      <c r="B34" s="2" t="s">
        <v>48</v>
      </c>
      <c r="C34" s="2">
        <v>200000</v>
      </c>
      <c r="D34" s="2" t="s">
        <v>13</v>
      </c>
      <c r="E34" s="2"/>
    </row>
    <row r="35" spans="1:5" ht="29.25" thickBot="1" x14ac:dyDescent="0.3">
      <c r="A35" s="4">
        <v>45414</v>
      </c>
      <c r="B35" s="2" t="s">
        <v>89</v>
      </c>
      <c r="C35" s="2">
        <v>200000</v>
      </c>
      <c r="D35" s="2" t="s">
        <v>82</v>
      </c>
      <c r="E35" s="2"/>
    </row>
    <row r="36" spans="1:5" ht="15.75" thickBot="1" x14ac:dyDescent="0.3">
      <c r="A36" s="2" t="s">
        <v>90</v>
      </c>
      <c r="B36" s="2" t="s">
        <v>31</v>
      </c>
      <c r="C36" s="2">
        <v>12000</v>
      </c>
      <c r="D36" s="2" t="s">
        <v>21</v>
      </c>
      <c r="E36" s="2"/>
    </row>
    <row r="37" spans="1:5" ht="15.75" thickBot="1" x14ac:dyDescent="0.3">
      <c r="A37" s="2" t="s">
        <v>91</v>
      </c>
      <c r="B37" s="2" t="s">
        <v>92</v>
      </c>
      <c r="C37" s="2">
        <v>12000</v>
      </c>
      <c r="D37" s="2" t="s">
        <v>10</v>
      </c>
      <c r="E37" s="2"/>
    </row>
    <row r="38" spans="1:5" ht="29.25" thickBot="1" x14ac:dyDescent="0.3">
      <c r="A38" s="2" t="s">
        <v>93</v>
      </c>
      <c r="B38" s="2" t="s">
        <v>50</v>
      </c>
      <c r="C38" s="2">
        <v>75000</v>
      </c>
      <c r="D38" s="2" t="s">
        <v>41</v>
      </c>
      <c r="E38" s="2"/>
    </row>
    <row r="39" spans="1:5" ht="29.25" thickBot="1" x14ac:dyDescent="0.3">
      <c r="A39" s="2" t="s">
        <v>94</v>
      </c>
      <c r="B39" s="2" t="s">
        <v>95</v>
      </c>
      <c r="C39" s="2">
        <v>75000</v>
      </c>
      <c r="D39" s="2" t="s">
        <v>44</v>
      </c>
      <c r="E39" s="2"/>
    </row>
    <row r="40" spans="1:5" ht="15.75" thickBot="1" x14ac:dyDescent="0.3">
      <c r="A40" s="2" t="s">
        <v>96</v>
      </c>
      <c r="B40" s="2" t="s">
        <v>97</v>
      </c>
      <c r="C40" s="2">
        <v>3300</v>
      </c>
      <c r="D40" s="2" t="s">
        <v>21</v>
      </c>
      <c r="E40" s="2"/>
    </row>
    <row r="41" spans="1:5" ht="29.25" thickBot="1" x14ac:dyDescent="0.3">
      <c r="A41" s="2" t="s">
        <v>98</v>
      </c>
      <c r="B41" s="2" t="s">
        <v>99</v>
      </c>
      <c r="C41" s="2">
        <v>3300</v>
      </c>
      <c r="D41" s="2" t="s">
        <v>21</v>
      </c>
      <c r="E41" s="2"/>
    </row>
    <row r="42" spans="1:5" ht="29.25" thickBot="1" x14ac:dyDescent="0.3">
      <c r="A42" s="2" t="s">
        <v>100</v>
      </c>
      <c r="B42" s="2" t="s">
        <v>101</v>
      </c>
      <c r="C42" s="2">
        <v>41000</v>
      </c>
      <c r="D42" s="2" t="s">
        <v>13</v>
      </c>
      <c r="E42" s="2"/>
    </row>
    <row r="43" spans="1:5" ht="29.25" thickBot="1" x14ac:dyDescent="0.3">
      <c r="A43" s="2" t="s">
        <v>102</v>
      </c>
      <c r="B43" s="2" t="s">
        <v>103</v>
      </c>
      <c r="C43" s="2">
        <v>41000</v>
      </c>
      <c r="D43" s="2" t="s">
        <v>82</v>
      </c>
      <c r="E43" s="2"/>
    </row>
    <row r="44" spans="1:5" ht="15.75" thickBot="1" x14ac:dyDescent="0.3">
      <c r="A44" s="2" t="s">
        <v>104</v>
      </c>
      <c r="B44" s="2" t="s">
        <v>105</v>
      </c>
      <c r="C44" s="2">
        <v>9800</v>
      </c>
      <c r="D44" s="2" t="s">
        <v>21</v>
      </c>
      <c r="E44" s="2"/>
    </row>
    <row r="45" spans="1:5" ht="29.25" thickBot="1" x14ac:dyDescent="0.3">
      <c r="A45" s="2" t="s">
        <v>106</v>
      </c>
      <c r="B45" s="2" t="s">
        <v>107</v>
      </c>
      <c r="C45" s="2">
        <v>9800</v>
      </c>
      <c r="D45" s="2" t="s">
        <v>58</v>
      </c>
      <c r="E45" s="2"/>
    </row>
    <row r="46" spans="1:5" ht="15.75" thickBot="1" x14ac:dyDescent="0.3">
      <c r="A46" s="2" t="s">
        <v>108</v>
      </c>
      <c r="B46" s="2" t="s">
        <v>75</v>
      </c>
      <c r="C46" s="2">
        <v>7700</v>
      </c>
      <c r="D46" s="2" t="s">
        <v>41</v>
      </c>
      <c r="E46" s="2"/>
    </row>
    <row r="47" spans="1:5" ht="15.75" thickBot="1" x14ac:dyDescent="0.3">
      <c r="A47" s="2" t="s">
        <v>109</v>
      </c>
      <c r="B47" s="2" t="s">
        <v>110</v>
      </c>
      <c r="C47" s="2">
        <v>7700</v>
      </c>
      <c r="D47" s="2" t="s">
        <v>41</v>
      </c>
      <c r="E47" s="2"/>
    </row>
    <row r="48" spans="1:5" ht="15.75" thickBot="1" x14ac:dyDescent="0.3">
      <c r="A48" s="2" t="s">
        <v>111</v>
      </c>
      <c r="B48" s="2" t="s">
        <v>64</v>
      </c>
      <c r="C48" s="2">
        <v>12000</v>
      </c>
      <c r="D48" s="2" t="s">
        <v>21</v>
      </c>
      <c r="E48" s="2"/>
    </row>
    <row r="49" spans="1:5" ht="29.25" thickBot="1" x14ac:dyDescent="0.3">
      <c r="A49" s="2" t="s">
        <v>112</v>
      </c>
      <c r="B49" s="2" t="s">
        <v>113</v>
      </c>
      <c r="C49" s="2">
        <v>12000</v>
      </c>
      <c r="D49" s="2" t="s">
        <v>21</v>
      </c>
      <c r="E49" s="2"/>
    </row>
    <row r="50" spans="1:5" ht="29.25" thickBot="1" x14ac:dyDescent="0.3">
      <c r="A50" s="2" t="s">
        <v>23</v>
      </c>
      <c r="B50" s="2" t="s">
        <v>24</v>
      </c>
      <c r="C50" s="2">
        <v>999999</v>
      </c>
      <c r="D50" s="2" t="s">
        <v>114</v>
      </c>
      <c r="E50" s="2" t="s">
        <v>115</v>
      </c>
    </row>
    <row r="51" spans="1:5" ht="15.75" thickBot="1" x14ac:dyDescent="0.3">
      <c r="A51" s="2" t="s">
        <v>116</v>
      </c>
      <c r="B51" s="2" t="s">
        <v>48</v>
      </c>
      <c r="C51" s="2">
        <v>45000</v>
      </c>
      <c r="D51" s="2" t="s">
        <v>21</v>
      </c>
      <c r="E5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5EB15-F258-4D58-B3B2-F444A68508F4}">
  <dimension ref="A1:H27"/>
  <sheetViews>
    <sheetView tabSelected="1" workbookViewId="0">
      <selection activeCell="J19" sqref="J19"/>
    </sheetView>
  </sheetViews>
  <sheetFormatPr defaultRowHeight="15" x14ac:dyDescent="0.25"/>
  <cols>
    <col min="1" max="1" width="9.7109375" style="3" bestFit="1" customWidth="1"/>
    <col min="2" max="2" width="19.42578125" bestFit="1" customWidth="1"/>
    <col min="3" max="3" width="16.5703125" style="13" bestFit="1" customWidth="1"/>
    <col min="4" max="4" width="11.28515625" bestFit="1" customWidth="1"/>
    <col min="5" max="5" width="19.85546875" bestFit="1" customWidth="1"/>
    <col min="6" max="7" width="19.28515625" bestFit="1" customWidth="1"/>
    <col min="8" max="8" width="12.140625" bestFit="1" customWidth="1"/>
  </cols>
  <sheetData>
    <row r="1" spans="1:8" x14ac:dyDescent="0.25">
      <c r="A1" s="7" t="s">
        <v>0</v>
      </c>
      <c r="B1" s="8" t="s">
        <v>1</v>
      </c>
      <c r="C1" s="11" t="s">
        <v>26</v>
      </c>
      <c r="D1" s="8" t="s">
        <v>2</v>
      </c>
      <c r="E1" s="8" t="s">
        <v>3</v>
      </c>
      <c r="F1" s="15"/>
      <c r="G1" s="14" t="s">
        <v>2</v>
      </c>
      <c r="H1" t="s">
        <v>160</v>
      </c>
    </row>
    <row r="2" spans="1:8" x14ac:dyDescent="0.25">
      <c r="A2" s="9" t="s">
        <v>131</v>
      </c>
      <c r="B2" s="10" t="s">
        <v>144</v>
      </c>
      <c r="C2" s="12">
        <v>150000</v>
      </c>
      <c r="D2" s="10" t="s">
        <v>7</v>
      </c>
      <c r="E2" s="10" t="s">
        <v>154</v>
      </c>
    </row>
    <row r="3" spans="1:8" x14ac:dyDescent="0.25">
      <c r="A3" s="9" t="s">
        <v>132</v>
      </c>
      <c r="B3" s="10" t="s">
        <v>145</v>
      </c>
      <c r="C3" s="12">
        <v>210500</v>
      </c>
      <c r="D3" s="10" t="s">
        <v>117</v>
      </c>
      <c r="E3" s="10" t="s">
        <v>14</v>
      </c>
      <c r="G3" s="14" t="s">
        <v>1</v>
      </c>
      <c r="H3" t="s">
        <v>161</v>
      </c>
    </row>
    <row r="4" spans="1:8" x14ac:dyDescent="0.25">
      <c r="A4" s="9" t="s">
        <v>133</v>
      </c>
      <c r="B4" s="10" t="s">
        <v>19</v>
      </c>
      <c r="C4" s="12">
        <v>117200</v>
      </c>
      <c r="D4" s="10" t="s">
        <v>7</v>
      </c>
      <c r="E4" s="10"/>
      <c r="G4" t="s">
        <v>146</v>
      </c>
      <c r="H4">
        <v>57600</v>
      </c>
    </row>
    <row r="5" spans="1:8" x14ac:dyDescent="0.25">
      <c r="A5" s="9" t="s">
        <v>134</v>
      </c>
      <c r="B5" s="10" t="s">
        <v>146</v>
      </c>
      <c r="C5" s="12">
        <v>45600</v>
      </c>
      <c r="D5" s="10" t="s">
        <v>7</v>
      </c>
      <c r="E5" s="10"/>
      <c r="G5" t="s">
        <v>150</v>
      </c>
      <c r="H5">
        <v>117000</v>
      </c>
    </row>
    <row r="6" spans="1:8" x14ac:dyDescent="0.25">
      <c r="A6" s="9" t="s">
        <v>135</v>
      </c>
      <c r="B6" s="10" t="s">
        <v>34</v>
      </c>
      <c r="C6" s="12">
        <v>12300.5</v>
      </c>
      <c r="D6" s="10" t="s">
        <v>7</v>
      </c>
      <c r="E6" s="10" t="s">
        <v>155</v>
      </c>
      <c r="G6" t="s">
        <v>151</v>
      </c>
      <c r="H6">
        <v>154000</v>
      </c>
    </row>
    <row r="7" spans="1:8" x14ac:dyDescent="0.25">
      <c r="A7" s="9" t="s">
        <v>136</v>
      </c>
      <c r="B7" s="10" t="s">
        <v>147</v>
      </c>
      <c r="C7" s="12">
        <v>89000</v>
      </c>
      <c r="D7" s="10" t="s">
        <v>118</v>
      </c>
      <c r="E7" s="10" t="s">
        <v>156</v>
      </c>
      <c r="G7" t="s">
        <v>144</v>
      </c>
      <c r="H7">
        <v>450000</v>
      </c>
    </row>
    <row r="8" spans="1:8" x14ac:dyDescent="0.25">
      <c r="A8" s="9" t="s">
        <v>137</v>
      </c>
      <c r="B8" s="10" t="s">
        <v>148</v>
      </c>
      <c r="C8" s="12">
        <v>15</v>
      </c>
      <c r="D8" s="10" t="s">
        <v>7</v>
      </c>
      <c r="E8" s="10"/>
      <c r="G8" t="s">
        <v>149</v>
      </c>
      <c r="H8">
        <v>44200</v>
      </c>
    </row>
    <row r="9" spans="1:8" x14ac:dyDescent="0.25">
      <c r="A9" s="9" t="s">
        <v>138</v>
      </c>
      <c r="B9" s="10" t="s">
        <v>144</v>
      </c>
      <c r="C9" s="12">
        <v>55000</v>
      </c>
      <c r="D9" s="10" t="s">
        <v>7</v>
      </c>
      <c r="E9" s="10"/>
      <c r="G9" t="s">
        <v>147</v>
      </c>
      <c r="H9">
        <v>130000</v>
      </c>
    </row>
    <row r="10" spans="1:8" x14ac:dyDescent="0.25">
      <c r="A10" s="9" t="s">
        <v>119</v>
      </c>
      <c r="B10" s="10" t="s">
        <v>145</v>
      </c>
      <c r="C10" s="12">
        <v>35160</v>
      </c>
      <c r="D10" s="10" t="s">
        <v>117</v>
      </c>
      <c r="E10" s="10"/>
      <c r="G10" t="s">
        <v>145</v>
      </c>
      <c r="H10">
        <v>320660</v>
      </c>
    </row>
    <row r="11" spans="1:8" x14ac:dyDescent="0.25">
      <c r="A11" s="9" t="s">
        <v>120</v>
      </c>
      <c r="B11" s="10" t="s">
        <v>56</v>
      </c>
      <c r="C11" s="12">
        <v>12500</v>
      </c>
      <c r="D11" s="10" t="s">
        <v>7</v>
      </c>
      <c r="E11" s="10"/>
      <c r="G11" t="s">
        <v>34</v>
      </c>
      <c r="H11">
        <v>22100.5</v>
      </c>
    </row>
    <row r="12" spans="1:8" x14ac:dyDescent="0.25">
      <c r="A12" s="9" t="s">
        <v>121</v>
      </c>
      <c r="B12" s="10" t="s">
        <v>149</v>
      </c>
      <c r="C12" s="12">
        <v>44200</v>
      </c>
      <c r="D12" s="10" t="s">
        <v>118</v>
      </c>
      <c r="E12" s="10"/>
      <c r="G12" t="s">
        <v>56</v>
      </c>
      <c r="H12">
        <v>15800</v>
      </c>
    </row>
    <row r="13" spans="1:8" x14ac:dyDescent="0.25">
      <c r="A13" s="9" t="s">
        <v>122</v>
      </c>
      <c r="B13" s="10" t="s">
        <v>150</v>
      </c>
      <c r="C13" s="12">
        <v>105000</v>
      </c>
      <c r="D13" s="10" t="s">
        <v>7</v>
      </c>
      <c r="E13" s="10"/>
      <c r="G13" t="s">
        <v>153</v>
      </c>
      <c r="H13">
        <v>22000</v>
      </c>
    </row>
    <row r="14" spans="1:8" x14ac:dyDescent="0.25">
      <c r="A14" s="9" t="s">
        <v>123</v>
      </c>
      <c r="B14" s="10" t="s">
        <v>67</v>
      </c>
      <c r="C14" s="12">
        <v>3200</v>
      </c>
      <c r="D14" s="10" t="s">
        <v>7</v>
      </c>
      <c r="E14" s="10" t="s">
        <v>157</v>
      </c>
      <c r="G14" t="s">
        <v>19</v>
      </c>
      <c r="H14">
        <v>175800</v>
      </c>
    </row>
    <row r="15" spans="1:8" x14ac:dyDescent="0.25">
      <c r="A15" s="9" t="s">
        <v>124</v>
      </c>
      <c r="B15" s="10" t="s">
        <v>151</v>
      </c>
      <c r="C15" s="12">
        <v>154000</v>
      </c>
      <c r="D15" s="10" t="s">
        <v>118</v>
      </c>
      <c r="E15" s="10" t="s">
        <v>158</v>
      </c>
      <c r="G15" t="s">
        <v>148</v>
      </c>
      <c r="H15">
        <v>15</v>
      </c>
    </row>
    <row r="16" spans="1:8" x14ac:dyDescent="0.25">
      <c r="A16" s="9" t="s">
        <v>125</v>
      </c>
      <c r="B16" s="10" t="s">
        <v>152</v>
      </c>
      <c r="C16" s="12">
        <v>8500</v>
      </c>
      <c r="D16" s="10" t="s">
        <v>7</v>
      </c>
      <c r="E16" s="10"/>
      <c r="F16" s="15"/>
      <c r="G16" t="s">
        <v>152</v>
      </c>
      <c r="H16">
        <v>16200</v>
      </c>
    </row>
    <row r="17" spans="1:8" x14ac:dyDescent="0.25">
      <c r="A17" s="9" t="s">
        <v>126</v>
      </c>
      <c r="B17" s="10" t="s">
        <v>153</v>
      </c>
      <c r="C17" s="12">
        <v>22000</v>
      </c>
      <c r="D17" s="10" t="s">
        <v>117</v>
      </c>
      <c r="E17" s="10"/>
      <c r="G17" t="s">
        <v>67</v>
      </c>
      <c r="H17">
        <v>3200</v>
      </c>
    </row>
    <row r="18" spans="1:8" x14ac:dyDescent="0.25">
      <c r="A18" s="9" t="s">
        <v>127</v>
      </c>
      <c r="B18" s="10" t="s">
        <v>19</v>
      </c>
      <c r="C18" s="12">
        <v>58600</v>
      </c>
      <c r="D18" s="10" t="s">
        <v>7</v>
      </c>
      <c r="E18" s="10"/>
      <c r="G18" t="s">
        <v>159</v>
      </c>
      <c r="H18">
        <v>1528575.5</v>
      </c>
    </row>
    <row r="19" spans="1:8" x14ac:dyDescent="0.25">
      <c r="A19" s="9" t="s">
        <v>139</v>
      </c>
      <c r="B19" s="10" t="s">
        <v>144</v>
      </c>
      <c r="C19" s="12">
        <v>200000</v>
      </c>
      <c r="D19" s="10" t="s">
        <v>117</v>
      </c>
      <c r="E19" s="10"/>
    </row>
    <row r="20" spans="1:8" x14ac:dyDescent="0.25">
      <c r="A20" s="9" t="s">
        <v>140</v>
      </c>
      <c r="B20" s="10" t="s">
        <v>146</v>
      </c>
      <c r="C20" s="12">
        <v>12000</v>
      </c>
      <c r="D20" s="10" t="s">
        <v>7</v>
      </c>
      <c r="E20" s="10"/>
    </row>
    <row r="21" spans="1:8" x14ac:dyDescent="0.25">
      <c r="A21" s="9" t="s">
        <v>133</v>
      </c>
      <c r="B21" s="10" t="s">
        <v>145</v>
      </c>
      <c r="C21" s="12">
        <v>75000</v>
      </c>
      <c r="D21" s="10" t="s">
        <v>118</v>
      </c>
      <c r="E21" s="10"/>
    </row>
    <row r="22" spans="1:8" x14ac:dyDescent="0.25">
      <c r="A22" s="9" t="s">
        <v>141</v>
      </c>
      <c r="B22" s="10" t="s">
        <v>56</v>
      </c>
      <c r="C22" s="12">
        <v>3300</v>
      </c>
      <c r="D22" s="10" t="s">
        <v>7</v>
      </c>
      <c r="E22" s="10"/>
    </row>
    <row r="23" spans="1:8" x14ac:dyDescent="0.25">
      <c r="A23" s="9" t="s">
        <v>142</v>
      </c>
      <c r="B23" s="10" t="s">
        <v>147</v>
      </c>
      <c r="C23" s="12">
        <v>41000</v>
      </c>
      <c r="D23" s="10" t="s">
        <v>117</v>
      </c>
      <c r="E23" s="10"/>
    </row>
    <row r="24" spans="1:8" x14ac:dyDescent="0.25">
      <c r="A24" s="9" t="s">
        <v>143</v>
      </c>
      <c r="B24" s="10" t="s">
        <v>34</v>
      </c>
      <c r="C24" s="12">
        <v>9800</v>
      </c>
      <c r="D24" s="10" t="s">
        <v>7</v>
      </c>
      <c r="E24" s="10"/>
    </row>
    <row r="25" spans="1:8" x14ac:dyDescent="0.25">
      <c r="A25" s="9" t="s">
        <v>128</v>
      </c>
      <c r="B25" s="10" t="s">
        <v>152</v>
      </c>
      <c r="C25" s="12">
        <v>7700</v>
      </c>
      <c r="D25" s="10" t="s">
        <v>118</v>
      </c>
      <c r="E25" s="10"/>
    </row>
    <row r="26" spans="1:8" x14ac:dyDescent="0.25">
      <c r="A26" s="9" t="s">
        <v>129</v>
      </c>
      <c r="B26" s="10" t="s">
        <v>150</v>
      </c>
      <c r="C26" s="12">
        <v>12000</v>
      </c>
      <c r="D26" s="10" t="s">
        <v>7</v>
      </c>
      <c r="E26" s="10"/>
    </row>
    <row r="27" spans="1:8" x14ac:dyDescent="0.25">
      <c r="A27" s="9" t="s">
        <v>130</v>
      </c>
      <c r="B27" s="10" t="s">
        <v>144</v>
      </c>
      <c r="C27" s="12">
        <v>45000</v>
      </c>
      <c r="D27" s="10" t="s">
        <v>7</v>
      </c>
      <c r="E27" s="10"/>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MessyData Start</vt:lpstr>
      <vt:lpstr>MessyData 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Grindex</dc:creator>
  <cp:lastModifiedBy>Željko Lujanov</cp:lastModifiedBy>
  <dcterms:created xsi:type="dcterms:W3CDTF">2015-06-05T18:17:20Z</dcterms:created>
  <dcterms:modified xsi:type="dcterms:W3CDTF">2026-04-21T06:44:11Z</dcterms:modified>
</cp:coreProperties>
</file>